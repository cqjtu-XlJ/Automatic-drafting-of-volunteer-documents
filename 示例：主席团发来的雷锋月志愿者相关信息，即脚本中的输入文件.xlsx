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<sst xmlns="http://schemas.openxmlformats.org/spreadsheetml/2006/main" count="142" uniqueCount="83">
  <si>
    <t>姓名</t>
  </si>
  <si>
    <t>学号</t>
  </si>
  <si>
    <t>工作内容</t>
  </si>
  <si>
    <t>工作时段</t>
  </si>
  <si>
    <t>工作总时间</t>
  </si>
  <si>
    <t>刘熙宇</t>
  </si>
  <si>
    <t>632507070607</t>
  </si>
  <si>
    <t>雷锋月活动前布置现场</t>
  </si>
  <si>
    <t>5h</t>
  </si>
  <si>
    <t>雷锋月活动现场拍照</t>
  </si>
  <si>
    <t>雷锋月活动后打扫场地</t>
  </si>
  <si>
    <t>张语欣</t>
  </si>
  <si>
    <t>632507100216</t>
  </si>
  <si>
    <t>雷锋月活动新闻撰写</t>
  </si>
  <si>
    <t>6h</t>
  </si>
  <si>
    <t>雷锋月活动陪护疏导老人</t>
  </si>
  <si>
    <t>周宜霖</t>
  </si>
  <si>
    <t>632507070222</t>
  </si>
  <si>
    <t>雷锋月活动演职人员</t>
  </si>
  <si>
    <t>7h</t>
  </si>
  <si>
    <t>徐曼</t>
  </si>
  <si>
    <t>632507050308</t>
  </si>
  <si>
    <t>李思谚</t>
  </si>
  <si>
    <t>632407070504</t>
  </si>
  <si>
    <t>邱星璨</t>
  </si>
  <si>
    <t>632407070522</t>
  </si>
  <si>
    <t>4.5h</t>
  </si>
  <si>
    <t>负责打扫办公室</t>
  </si>
  <si>
    <t>姜彤彤</t>
  </si>
  <si>
    <t>632407030502</t>
  </si>
  <si>
    <t>杨昕玥</t>
  </si>
  <si>
    <t>632407070306</t>
  </si>
  <si>
    <t>梅智红</t>
  </si>
  <si>
    <t>632507040328</t>
  </si>
  <si>
    <t>学习辅助活动工作人员</t>
  </si>
  <si>
    <t>3h</t>
  </si>
  <si>
    <t>田丰源</t>
  </si>
  <si>
    <t>632507040127</t>
  </si>
  <si>
    <t>林煜凯</t>
  </si>
  <si>
    <t>632507070116</t>
  </si>
  <si>
    <t>2026年3月13日 19:00-21:00</t>
  </si>
  <si>
    <t>梁承杰</t>
  </si>
  <si>
    <t>632504150127</t>
  </si>
  <si>
    <t>协助转专业面试</t>
  </si>
  <si>
    <t>周余梓瑞</t>
  </si>
  <si>
    <t>632505020401</t>
  </si>
  <si>
    <t>任彦西</t>
  </si>
  <si>
    <t>632507040329</t>
  </si>
  <si>
    <t>邵帅</t>
  </si>
  <si>
    <t>632507110201</t>
  </si>
  <si>
    <t>2026年3月20日 13:00-14:00</t>
  </si>
  <si>
    <t>王相文</t>
  </si>
  <si>
    <t>632507110207</t>
  </si>
  <si>
    <t>柏瑞波</t>
  </si>
  <si>
    <t>632507070601</t>
  </si>
  <si>
    <t>傅秋艳</t>
  </si>
  <si>
    <t>632407070305</t>
  </si>
  <si>
    <t>刘娜</t>
  </si>
  <si>
    <t>632407070307</t>
  </si>
  <si>
    <t>徐怡凡</t>
  </si>
  <si>
    <t>632407070304</t>
  </si>
  <si>
    <t>陶凌枫</t>
  </si>
  <si>
    <t>632507110221</t>
  </si>
  <si>
    <t>1h</t>
  </si>
  <si>
    <t>袁素婷</t>
  </si>
  <si>
    <t>632507110109</t>
  </si>
  <si>
    <t>杨卓</t>
  </si>
  <si>
    <t>632407030419</t>
  </si>
  <si>
    <t>杨若楠</t>
  </si>
  <si>
    <t>632407110203</t>
  </si>
  <si>
    <t>4h</t>
  </si>
  <si>
    <t>唐馨</t>
  </si>
  <si>
    <t>632407070105</t>
  </si>
  <si>
    <t>雷锋月活动现场机动人员</t>
  </si>
  <si>
    <t>9h</t>
  </si>
  <si>
    <t>段一飞</t>
  </si>
  <si>
    <t>632407070117</t>
  </si>
  <si>
    <t>9.5h</t>
  </si>
  <si>
    <t>刘红余</t>
  </si>
  <si>
    <t>632407070409</t>
  </si>
  <si>
    <t>3.5h</t>
  </si>
  <si>
    <t>陆思懿</t>
  </si>
  <si>
    <t>632507070316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</si>
</sst>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SimSun"/>
      <charset val="134"/>
    </font>
    <font>
      <sz val="11"/>
      <color theme="1"/>
      <name val="SimSu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zoomScale="94" zoomScaleNormal="94" topLeftCell="A40" workbookViewId="0">
      <selection activeCell="F50" sqref="F50"/>
    </sheetView>
  </sheetViews>
  <sheetFormatPr defaultColWidth="9" defaultRowHeight="13.5" outlineLevelCol="5"/>
  <cols>
    <col min="1" max="1" width="15.5398230088496" style="1" customWidth="1"/>
    <col min="2" max="2" width="15.8053097345133" style="1" customWidth="1"/>
    <col min="3" max="3" width="27.8849557522124" style="1" customWidth="1"/>
    <col min="4" max="4" width="31.5752212389381" style="2" customWidth="1"/>
    <col min="5" max="5" width="14.5398230088496" style="2" customWidth="1"/>
  </cols>
  <sheetData>
    <row r="1" spans="1:5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>
      <c r="A2" s="4" t="s">
        <v>5</v>
      </c>
      <c r="B2" s="5" t="s">
        <v>6</v>
      </c>
      <c r="C2" s="6" t="s">
        <v>7</v>
      </c>
      <c r="D2" s="7" t="str">
        <f>IF(C2="雷锋月活动前布置现场","2026年3月27日 13:00-14:00",IF(C2="雷锋月活动现场拍照","2026年3月27日 14:00-17:30",IF(C2="雷锋月活动后打扫场地","2026年3月27日 17:30-18:00",IF(C2="雷锋月活动新闻撰写","2026年3月27日 14:00-16:00",IF(C2="雷锋月活动陪护疏导老人","2026年3月27日 15:00-17:30",IF(C2="雷锋月活动演职人员","2026年3月27日 13:00-15:00",IF(C2="负责打扫办公室","2026年3月28日 13:00-15:00",IF(C2="学习辅助活动工作人员","2026年3月12日 19:00-21:00",IF(C2="协助转专业面试","2026年3月15日 12:30-15:30",IF(C2="雷锋月活动现场机动人员","2026年3月27日 13:00-17:30",""))))))))))</f>
        <v>2026年3月27日 13:00-14:00</v>
      </c>
      <c r="E2" s="7" t="s">
        <v>8</v>
      </c>
    </row>
    <row r="3" spans="1:5">
      <c r="A3" s="4"/>
      <c r="B3" s="5"/>
      <c r="C3" s="6" t="s">
        <v>9</v>
      </c>
      <c r="D3" s="7" t="str">
        <f t="shared" ref="D3:D34" si="0">IF(C3="雷锋月活动前布置现场","2026年3月27日 13:00-14:00",IF(C3="雷锋月活动现场拍照","2026年3月27日 14:00-17:30",IF(C3="雷锋月活动后打扫场地","2026年3月27日 17:30-18:00",IF(C3="雷锋月活动新闻撰写","2026年3月27日 14:00-16:00",IF(C3="雷锋月活动陪护疏导老人","2026年3月27日 15:00-17:30",IF(C3="雷锋月活动演职人员","2026年3月27日 13:00-15:00",IF(C3="负责打扫办公室","2026年3月28日 13:00-15:00",IF(C3="学习辅助活动工作人员","2026年3月12日 19:00-21:00",IF(C3="协助转专业面试","2026年3月15日 12:30-15:30",IF(C3="雷锋月活动现场机动人员","2026年3月27日 13:00-17:30",""))))))))))</f>
        <v>2026年3月27日 14:00-17:30</v>
      </c>
      <c r="E3" s="7"/>
    </row>
    <row r="4" spans="1:5">
      <c r="A4" s="4"/>
      <c r="B4" s="5"/>
      <c r="C4" s="6" t="s">
        <v>10</v>
      </c>
      <c r="D4" s="7" t="str">
        <f t="shared" si="0"/>
        <v>2026年3月27日 17:30-18:00</v>
      </c>
      <c r="E4" s="7"/>
    </row>
    <row r="5" spans="1:5">
      <c r="A5" s="4" t="s">
        <v>11</v>
      </c>
      <c r="B5" s="5" t="s">
        <v>12</v>
      </c>
      <c r="C5" s="6" t="s">
        <v>13</v>
      </c>
      <c r="D5" s="7" t="str">
        <f t="shared" si="0"/>
        <v>2026年3月27日 14:00-16:00</v>
      </c>
      <c r="E5" s="7" t="s">
        <v>14</v>
      </c>
    </row>
    <row r="6" spans="1:5">
      <c r="A6" s="4"/>
      <c r="B6" s="5"/>
      <c r="C6" s="6" t="s">
        <v>7</v>
      </c>
      <c r="D6" s="7" t="str">
        <f t="shared" si="0"/>
        <v>2026年3月27日 13:00-14:00</v>
      </c>
      <c r="E6" s="7"/>
    </row>
    <row r="7" spans="1:5">
      <c r="A7" s="4"/>
      <c r="B7" s="5"/>
      <c r="C7" s="6" t="s">
        <v>15</v>
      </c>
      <c r="D7" s="7" t="str">
        <f t="shared" si="0"/>
        <v>2026年3月27日 15:00-17:30</v>
      </c>
      <c r="E7" s="7"/>
    </row>
    <row r="8" spans="1:5">
      <c r="A8" s="4"/>
      <c r="B8" s="5"/>
      <c r="C8" s="6" t="s">
        <v>10</v>
      </c>
      <c r="D8" s="7" t="str">
        <f t="shared" si="0"/>
        <v>2026年3月27日 17:30-18:00</v>
      </c>
      <c r="E8" s="7"/>
    </row>
    <row r="9" spans="1:5">
      <c r="A9" s="4" t="s">
        <v>16</v>
      </c>
      <c r="B9" s="5" t="s">
        <v>17</v>
      </c>
      <c r="C9" s="6" t="s">
        <v>18</v>
      </c>
      <c r="D9" s="7" t="str">
        <f t="shared" si="0"/>
        <v>2026年3月27日 13:00-15:00</v>
      </c>
      <c r="E9" s="7" t="s">
        <v>19</v>
      </c>
    </row>
    <row r="10" spans="1:5">
      <c r="A10" s="4"/>
      <c r="B10" s="5"/>
      <c r="C10" s="6" t="s">
        <v>18</v>
      </c>
      <c r="D10" s="7" t="str">
        <f t="shared" si="0"/>
        <v>2026年3月27日 13:00-15:00</v>
      </c>
      <c r="E10" s="7"/>
    </row>
    <row r="11" spans="1:5">
      <c r="A11" s="4"/>
      <c r="B11" s="5"/>
      <c r="C11" s="6" t="s">
        <v>15</v>
      </c>
      <c r="D11" s="7" t="str">
        <f t="shared" si="0"/>
        <v>2026年3月27日 15:00-17:30</v>
      </c>
      <c r="E11" s="7"/>
    </row>
    <row r="12" spans="1:5">
      <c r="A12" s="4"/>
      <c r="B12" s="5"/>
      <c r="C12" s="6" t="s">
        <v>10</v>
      </c>
      <c r="D12" s="7" t="str">
        <f t="shared" si="0"/>
        <v>2026年3月27日 17:30-18:00</v>
      </c>
      <c r="E12" s="7"/>
    </row>
    <row r="13" spans="1:5">
      <c r="A13" s="4" t="s">
        <v>20</v>
      </c>
      <c r="B13" s="5" t="s">
        <v>21</v>
      </c>
      <c r="C13" s="6" t="s">
        <v>7</v>
      </c>
      <c r="D13" s="7" t="str">
        <f t="shared" si="0"/>
        <v>2026年3月27日 13:00-14:00</v>
      </c>
      <c r="E13" s="7" t="s">
        <v>19</v>
      </c>
    </row>
    <row r="14" spans="1:5">
      <c r="A14" s="4"/>
      <c r="B14" s="5"/>
      <c r="C14" s="6" t="s">
        <v>18</v>
      </c>
      <c r="D14" s="7" t="str">
        <f t="shared" si="0"/>
        <v>2026年3月27日 13:00-15:00</v>
      </c>
      <c r="E14" s="7"/>
    </row>
    <row r="15" spans="1:5">
      <c r="A15" s="4"/>
      <c r="B15" s="5"/>
      <c r="C15" s="6" t="s">
        <v>15</v>
      </c>
      <c r="D15" s="7" t="str">
        <f t="shared" si="0"/>
        <v>2026年3月27日 15:00-17:30</v>
      </c>
      <c r="E15" s="7"/>
    </row>
    <row r="16" spans="1:5">
      <c r="A16" s="4"/>
      <c r="B16" s="5"/>
      <c r="C16" s="6" t="s">
        <v>10</v>
      </c>
      <c r="D16" s="7" t="str">
        <f t="shared" si="0"/>
        <v>2026年3月27日 17:30-18:00</v>
      </c>
      <c r="E16" s="7"/>
    </row>
    <row r="17" spans="1:6">
      <c r="A17" s="8" t="s">
        <v>22</v>
      </c>
      <c r="B17" s="5" t="s">
        <v>23</v>
      </c>
      <c r="C17" s="6" t="s">
        <v>7</v>
      </c>
      <c r="D17" s="7" t="str">
        <f t="shared" si="0"/>
        <v>2026年3月27日 13:00-14:00</v>
      </c>
      <c r="E17" s="7" t="str">
        <f>ROUND((TIMEVALUE(RIGHT(D17,5))-TIMEVALUE(MID(D17,FIND(" ",D17)+1,5)))*24,1)&amp;"h"</f>
        <v>1h</v>
      </c>
    </row>
    <row r="18" spans="1:6">
      <c r="A18" s="8" t="s">
        <v>24</v>
      </c>
      <c r="B18" s="5" t="s">
        <v>25</v>
      </c>
      <c r="C18" s="6" t="s">
        <v>15</v>
      </c>
      <c r="D18" s="7" t="str">
        <f t="shared" si="0"/>
        <v>2026年3月27日 15:00-17:30</v>
      </c>
      <c r="E18" s="7" t="s">
        <v>26</v>
      </c>
    </row>
    <row r="19" spans="1:6">
      <c r="A19" s="8"/>
      <c r="B19" s="5"/>
      <c r="C19" s="2" t="s">
        <v>27</v>
      </c>
      <c r="D19" s="7" t="str">
        <f t="shared" si="0"/>
        <v>2026年3月28日 13:00-15:00</v>
      </c>
      <c r="E19" s="7"/>
    </row>
    <row r="20" spans="1:6">
      <c r="A20" s="8" t="s">
        <v>28</v>
      </c>
      <c r="B20" s="5" t="s">
        <v>29</v>
      </c>
      <c r="C20" s="6" t="s">
        <v>9</v>
      </c>
      <c r="D20" s="7" t="str">
        <f t="shared" si="0"/>
        <v>2026年3月27日 14:00-17:30</v>
      </c>
      <c r="E20" s="7" t="str">
        <f>ROUND((TIMEVALUE(RIGHT(D20,5))-TIMEVALUE(MID(D20,FIND(" ",D20)+1,5)))*24,1)&amp;"h"</f>
        <v>3.5h</v>
      </c>
    </row>
    <row r="21" spans="1:6">
      <c r="A21" s="8" t="s">
        <v>30</v>
      </c>
      <c r="B21" s="5" t="s">
        <v>31</v>
      </c>
      <c r="C21" s="6" t="s">
        <v>18</v>
      </c>
      <c r="D21" s="7" t="str">
        <f t="shared" si="0"/>
        <v>2026年3月27日 13:00-15:00</v>
      </c>
      <c r="E21" s="7" t="s">
        <v>14</v>
      </c>
    </row>
    <row r="22" spans="1:6">
      <c r="A22" s="8"/>
      <c r="B22" s="5"/>
      <c r="C22" s="2" t="s">
        <v>27</v>
      </c>
      <c r="D22" s="7" t="str">
        <f t="shared" si="0"/>
        <v>2026年3月28日 13:00-15:00</v>
      </c>
      <c r="E22" s="7"/>
    </row>
    <row r="23" spans="1:6">
      <c r="A23" s="8"/>
      <c r="B23" s="5"/>
      <c r="C23" s="2" t="s">
        <v>27</v>
      </c>
      <c r="D23" s="7" t="str">
        <f t="shared" si="0"/>
        <v>2026年3月28日 13:00-15:00</v>
      </c>
      <c r="E23" s="7"/>
    </row>
    <row r="24" spans="1:6">
      <c r="A24" s="9" t="s">
        <v>32</v>
      </c>
      <c r="B24" s="9" t="s">
        <v>33</v>
      </c>
      <c r="C24" s="9" t="s">
        <v>34</v>
      </c>
      <c r="D24" s="7" t="str">
        <f t="shared" si="0"/>
        <v>2026年3月12日 19:00-21:00</v>
      </c>
      <c r="E24" s="9" t="s">
        <v>35</v>
      </c>
      <c r="F24" s="9"/>
    </row>
    <row r="25" spans="1:6">
      <c r="A25" s="9" t="s">
        <v>36</v>
      </c>
      <c r="B25" s="9" t="s">
        <v>37</v>
      </c>
      <c r="C25" s="9" t="s">
        <v>34</v>
      </c>
      <c r="D25" s="7" t="str">
        <f t="shared" si="0"/>
        <v>2026年3月12日 19:00-21:00</v>
      </c>
      <c r="E25" s="9" t="s">
        <v>35</v>
      </c>
      <c r="F25" s="9"/>
    </row>
    <row r="26" spans="1:6">
      <c r="A26" s="10" t="s">
        <v>38</v>
      </c>
      <c r="B26" s="10" t="s">
        <v>39</v>
      </c>
      <c r="C26" s="9" t="s">
        <v>34</v>
      </c>
      <c r="D26" s="7" t="str">
        <f t="shared" si="0"/>
        <v>2026年3月12日 19:00-21:00</v>
      </c>
      <c r="E26" s="10" t="s">
        <v>14</v>
      </c>
      <c r="F26" s="9"/>
    </row>
    <row r="27" spans="1:6">
      <c r="A27" s="10"/>
      <c r="B27" s="10"/>
      <c r="C27" s="9" t="s">
        <v>34</v>
      </c>
      <c r="D27" s="2" t="s">
        <v>40</v>
      </c>
      <c r="E27" s="10"/>
      <c r="F27" s="9"/>
    </row>
    <row r="28" spans="1:6">
      <c r="A28" s="9" t="s">
        <v>41</v>
      </c>
      <c r="B28" s="9" t="s">
        <v>42</v>
      </c>
      <c r="C28" s="9" t="s">
        <v>43</v>
      </c>
      <c r="D28" s="7" t="str">
        <f t="shared" ref="D28:D32" si="1">IF(C28="雷锋月活动前布置现场","2026年3月27日 13:00-14:00",IF(C28="雷锋月活动现场拍照","2026年3月27日 14:00-17:30",IF(C28="雷锋月活动后打扫场地","2026年3月27日 17:30-18:00",IF(C28="雷锋月活动新闻撰写","2026年3月27日 14:00-16:00",IF(C28="雷锋月活动陪护疏导老人","2026年3月27日 15:00-17:30",IF(C28="雷锋月活动演职人员","2026年3月27日 13:00-15:00",IF(C28="负责打扫办公室","2026年3月28日 13:00-15:00",IF(C28="学习辅助活动工作人员","2026年3月12日 19:00-21:00",IF(C28="协助转专业面试","2026年3月15日 12:30-15:30",IF(C28="雷锋月活动现场机动人员","2026年3月27日 13:00-17:30",""))))))))))</f>
        <v>2026年3月15日 12:30-15:30</v>
      </c>
      <c r="E28" s="7" t="str">
        <f>ROUND((TIMEVALUE(RIGHT(D28,5))-TIMEVALUE(MID(D28,FIND(" ",D28)+1,5)))*24,1)&amp;"h"</f>
        <v>3h</v>
      </c>
      <c r="F28" s="9"/>
    </row>
    <row r="29" spans="1:6">
      <c r="A29" s="9" t="s">
        <v>44</v>
      </c>
      <c r="B29" s="9" t="s">
        <v>45</v>
      </c>
      <c r="C29" s="9" t="s">
        <v>43</v>
      </c>
      <c r="D29" s="7" t="str">
        <f t="shared" si="1"/>
        <v>2026年3月15日 12:30-15:30</v>
      </c>
      <c r="E29" s="7" t="str">
        <f>ROUND((TIMEVALUE(RIGHT(D29,5))-TIMEVALUE(MID(D29,FIND(" ",D29)+1,5)))*24,1)&amp;"h"</f>
        <v>3h</v>
      </c>
      <c r="F29" s="9"/>
    </row>
    <row r="30" spans="1:6">
      <c r="A30" s="9" t="s">
        <v>46</v>
      </c>
      <c r="B30" s="9" t="s">
        <v>47</v>
      </c>
      <c r="C30" s="9" t="s">
        <v>43</v>
      </c>
      <c r="D30" s="7" t="str">
        <f t="shared" si="1"/>
        <v>2026年3月15日 12:30-15:30</v>
      </c>
      <c r="E30" s="7" t="str">
        <f>ROUND((TIMEVALUE(RIGHT(D30,5))-TIMEVALUE(MID(D30,FIND(" ",D30)+1,5)))*24,1)&amp;"h"</f>
        <v>3h</v>
      </c>
      <c r="F30" s="9"/>
    </row>
    <row r="31" spans="1:6">
      <c r="A31" s="8" t="s">
        <v>48</v>
      </c>
      <c r="B31" s="5" t="s">
        <v>49</v>
      </c>
      <c r="C31" s="2" t="s">
        <v>27</v>
      </c>
      <c r="D31" s="7" t="str">
        <f t="shared" si="1"/>
        <v>2026年3月28日 13:00-15:00</v>
      </c>
      <c r="E31" s="7" t="s">
        <v>35</v>
      </c>
      <c r="F31" s="6"/>
    </row>
    <row r="32" spans="1:6">
      <c r="A32" s="8"/>
      <c r="B32" s="5"/>
      <c r="C32" s="2" t="s">
        <v>27</v>
      </c>
      <c r="D32" s="7" t="s">
        <v>50</v>
      </c>
      <c r="E32" s="7"/>
      <c r="F32" s="6"/>
    </row>
    <row r="33" spans="1:6">
      <c r="A33" s="8" t="s">
        <v>51</v>
      </c>
      <c r="B33" s="5" t="s">
        <v>52</v>
      </c>
      <c r="C33" s="2" t="s">
        <v>27</v>
      </c>
      <c r="D33" s="7" t="str">
        <f>IF(C33="雷锋月活动前布置现场","2026年3月27日 13:00-14:00",IF(C33="雷锋月活动现场拍照","2026年3月27日 14:00-17:30",IF(C33="雷锋月活动后打扫场地","2026年3月27日 17:30-18:00",IF(C33="雷锋月活动新闻撰写","2026年3月27日 14:00-16:00",IF(C33="雷锋月活动陪护疏导老人","2026年3月27日 15:00-17:30",IF(C33="雷锋月活动演职人员","2026年3月27日 13:00-15:00",IF(C33="负责打扫办公室","2026年3月28日 13:00-15:00",IF(C33="学习辅助活动工作人员","2026年3月12日 19:00-21:00",IF(C33="协助转专业面试","2026年3月15日 12:30-15:30",IF(C33="雷锋月活动现场机动人员","2026年3月27日 13:00-17:30",""))))))))))</f>
        <v>2026年3月28日 13:00-15:00</v>
      </c>
      <c r="E33" s="7" t="str">
        <f t="shared" ref="E33:E38" si="2">ROUND((TIMEVALUE(RIGHT(D33,5))-TIMEVALUE(MID(D33,FIND(" ",D33)+1,5)))*24,1)&amp;"h"</f>
        <v>2h</v>
      </c>
      <c r="F33" s="6"/>
    </row>
    <row r="34" spans="1:6">
      <c r="A34" s="8" t="s">
        <v>53</v>
      </c>
      <c r="B34" s="5" t="s">
        <v>54</v>
      </c>
      <c r="C34" s="2" t="s">
        <v>27</v>
      </c>
      <c r="D34" s="7" t="str">
        <f>IF(C34="雷锋月活动前布置现场","2026年3月27日 13:00-14:00",IF(C34="雷锋月活动现场拍照","2026年3月27日 14:00-17:30",IF(C34="雷锋月活动后打扫场地","2026年3月27日 17:30-18:00",IF(C34="雷锋月活动新闻撰写","2026年3月27日 14:00-16:00",IF(C34="雷锋月活动陪护疏导老人","2026年3月27日 15:00-17:30",IF(C34="雷锋月活动演职人员","2026年3月27日 13:00-15:00",IF(C34="负责打扫办公室","2026年3月28日 13:00-15:00",IF(C34="学习辅助活动工作人员","2026年3月12日 19:00-21:00",IF(C34="协助转专业面试","2026年3月15日 12:30-15:30",IF(C34="雷锋月活动现场机动人员","2026年3月27日 13:00-17:30",""))))))))))</f>
        <v>2026年3月28日 13:00-15:00</v>
      </c>
      <c r="E34" s="7" t="str">
        <f t="shared" si="2"/>
        <v>2h</v>
      </c>
      <c r="F34" s="6"/>
    </row>
    <row r="35" spans="1:6">
      <c r="A35" s="8" t="s">
        <v>55</v>
      </c>
      <c r="B35" s="5" t="s">
        <v>56</v>
      </c>
      <c r="C35" s="2" t="s">
        <v>27</v>
      </c>
      <c r="D35" s="7" t="str">
        <f>IF(C35="雷锋月活动前布置现场","2026年3月27日 13:00-14:00",IF(C35="雷锋月活动现场拍照","2026年3月27日 14:00-17:30",IF(C35="雷锋月活动后打扫场地","2026年3月27日 17:30-18:00",IF(C35="雷锋月活动新闻撰写","2026年3月27日 14:00-16:00",IF(C35="雷锋月活动陪护疏导老人","2026年3月27日 15:00-17:30",IF(C35="雷锋月活动演职人员","2026年3月27日 13:00-15:00",IF(C35="负责打扫办公室","2026年3月28日 13:00-15:00",IF(C35="学习辅助活动工作人员","2026年3月12日 19:00-21:00",IF(C35="协助转专业面试","2026年3月15日 12:30-15:30",IF(C35="雷锋月活动现场机动人员","2026年3月27日 13:00-17:30",""))))))))))</f>
        <v>2026年3月28日 13:00-15:00</v>
      </c>
      <c r="E35" s="7" t="str">
        <f t="shared" si="2"/>
        <v>2h</v>
      </c>
      <c r="F35" s="6"/>
    </row>
    <row r="36" spans="1:6">
      <c r="A36" s="8" t="s">
        <v>57</v>
      </c>
      <c r="B36" s="5" t="s">
        <v>58</v>
      </c>
      <c r="C36" s="2" t="s">
        <v>27</v>
      </c>
      <c r="D36" s="7" t="str">
        <f>IF(C36="雷锋月活动前布置现场","2026年3月27日 13:00-14:00",IF(C36="雷锋月活动现场拍照","2026年3月27日 14:00-17:30",IF(C36="雷锋月活动后打扫场地","2026年3月27日 17:30-18:00",IF(C36="雷锋月活动新闻撰写","2026年3月27日 14:00-16:00",IF(C36="雷锋月活动陪护疏导老人","2026年3月27日 15:00-17:30",IF(C36="雷锋月活动演职人员","2026年3月27日 13:00-15:00",IF(C36="负责打扫办公室","2026年3月28日 13:00-15:00",IF(C36="学习辅助活动工作人员","2026年3月12日 19:00-21:00",IF(C36="协助转专业面试","2026年3月15日 12:30-15:30",IF(C36="雷锋月活动现场机动人员","2026年3月27日 13:00-17:30",""))))))))))</f>
        <v>2026年3月28日 13:00-15:00</v>
      </c>
      <c r="E36" s="7" t="str">
        <f t="shared" si="2"/>
        <v>2h</v>
      </c>
      <c r="F36" s="6"/>
    </row>
    <row r="37" spans="1:6">
      <c r="A37" s="8" t="s">
        <v>59</v>
      </c>
      <c r="B37" s="5" t="s">
        <v>60</v>
      </c>
      <c r="C37" s="2" t="s">
        <v>27</v>
      </c>
      <c r="D37" s="7" t="str">
        <f>IF(C37="雷锋月活动前布置现场","2026年3月27日 13:00-14:00",IF(C37="雷锋月活动现场拍照","2026年3月27日 14:00-17:30",IF(C37="雷锋月活动后打扫场地","2026年3月27日 17:30-18:00",IF(C37="雷锋月活动新闻撰写","2026年3月27日 14:00-16:00",IF(C37="雷锋月活动陪护疏导老人","2026年3月27日 15:00-17:30",IF(C37="雷锋月活动演职人员","2026年3月27日 13:00-15:00",IF(C37="负责打扫办公室","2026年3月28日 13:00-15:00",IF(C37="学习辅助活动工作人员","2026年3月12日 19:00-21:00",IF(C37="协助转专业面试","2026年3月15日 12:30-15:30",IF(C37="雷锋月活动现场机动人员","2026年3月27日 13:00-17:30",""))))))))))</f>
        <v>2026年3月28日 13:00-15:00</v>
      </c>
      <c r="E37" s="7" t="str">
        <f t="shared" si="2"/>
        <v>2h</v>
      </c>
      <c r="F37" s="6"/>
    </row>
    <row r="38" spans="1:6">
      <c r="A38" s="8" t="s">
        <v>30</v>
      </c>
      <c r="B38" s="5" t="s">
        <v>31</v>
      </c>
      <c r="C38" s="2" t="s">
        <v>27</v>
      </c>
      <c r="D38" s="7" t="str">
        <f t="shared" ref="D38:D58" si="3">IF(C38="雷锋月活动前布置现场","2026年3月27日 13:00-14:00",IF(C38="雷锋月活动现场拍照","2026年3月27日 14:00-17:30",IF(C38="雷锋月活动后打扫场地","2026年3月27日 17:30-18:00",IF(C38="雷锋月活动新闻撰写","2026年3月27日 14:00-16:00",IF(C38="雷锋月活动陪护疏导老人","2026年3月27日 15:00-17:30",IF(C38="雷锋月活动演职人员","2026年3月27日 13:00-15:00",IF(C38="负责打扫办公室","2026年3月28日 13:00-15:00",IF(C38="学习辅助活动工作人员","2026年3月12日 19:00-21:00",IF(C38="协助转专业面试","2026年3月15日 12:30-15:30",IF(C38="雷锋月活动现场机动人员","2026年3月27日 13:00-17:30",""))))))))))</f>
        <v>2026年3月28日 13:00-15:00</v>
      </c>
      <c r="E38" s="7" t="str">
        <f t="shared" si="2"/>
        <v>2h</v>
      </c>
      <c r="F38" s="6"/>
    </row>
    <row r="39" spans="1:6">
      <c r="A39" s="8" t="s">
        <v>61</v>
      </c>
      <c r="B39" s="5" t="s">
        <v>62</v>
      </c>
      <c r="C39" s="2" t="s">
        <v>27</v>
      </c>
      <c r="D39" s="7" t="s">
        <v>50</v>
      </c>
      <c r="E39" s="6" t="s">
        <v>63</v>
      </c>
    </row>
    <row r="40" spans="1:6">
      <c r="A40" s="8" t="s">
        <v>64</v>
      </c>
      <c r="B40" s="5" t="s">
        <v>65</v>
      </c>
      <c r="C40" s="2" t="s">
        <v>27</v>
      </c>
      <c r="D40" s="7" t="s">
        <v>50</v>
      </c>
      <c r="E40" s="6" t="s">
        <v>63</v>
      </c>
    </row>
    <row r="41" spans="1:6">
      <c r="A41" s="8" t="s">
        <v>66</v>
      </c>
      <c r="B41" s="5" t="s">
        <v>67</v>
      </c>
      <c r="C41" s="6" t="s">
        <v>7</v>
      </c>
      <c r="D41" s="7" t="str">
        <f t="shared" si="3"/>
        <v>2026年3月27日 13:00-14:00</v>
      </c>
      <c r="E41" s="7" t="s">
        <v>14</v>
      </c>
    </row>
    <row r="42" spans="1:6">
      <c r="A42" s="8"/>
      <c r="B42" s="5"/>
      <c r="C42" s="6" t="s">
        <v>15</v>
      </c>
      <c r="D42" s="7" t="str">
        <f t="shared" si="3"/>
        <v>2026年3月27日 15:00-17:30</v>
      </c>
      <c r="E42" s="7"/>
    </row>
    <row r="43" spans="1:6">
      <c r="A43" s="8"/>
      <c r="B43" s="5"/>
      <c r="C43" s="6" t="s">
        <v>10</v>
      </c>
      <c r="D43" s="7" t="str">
        <f t="shared" si="3"/>
        <v>2026年3月27日 17:30-18:00</v>
      </c>
      <c r="E43" s="7"/>
    </row>
    <row r="44" spans="1:6">
      <c r="A44" s="8"/>
      <c r="B44" s="5"/>
      <c r="C44" s="2" t="s">
        <v>27</v>
      </c>
      <c r="D44" s="7" t="str">
        <f t="shared" si="3"/>
        <v>2026年3月28日 13:00-15:00</v>
      </c>
      <c r="E44" s="7"/>
    </row>
    <row r="45" spans="1:6">
      <c r="A45" s="4" t="s">
        <v>68</v>
      </c>
      <c r="B45" s="11" t="s">
        <v>69</v>
      </c>
      <c r="C45" s="6" t="s">
        <v>18</v>
      </c>
      <c r="D45" s="7" t="str">
        <f t="shared" si="3"/>
        <v>2026年3月27日 13:00-15:00</v>
      </c>
      <c r="E45" s="7" t="s">
        <v>70</v>
      </c>
    </row>
    <row r="46" spans="1:6">
      <c r="A46" s="4"/>
      <c r="B46" s="4"/>
      <c r="C46" s="2" t="s">
        <v>27</v>
      </c>
      <c r="D46" s="7" t="str">
        <f t="shared" si="3"/>
        <v>2026年3月28日 13:00-15:00</v>
      </c>
      <c r="E46" s="7"/>
    </row>
    <row r="47" spans="1:6">
      <c r="A47" s="4" t="s">
        <v>71</v>
      </c>
      <c r="B47" s="11" t="s">
        <v>72</v>
      </c>
      <c r="C47" s="2" t="s">
        <v>73</v>
      </c>
      <c r="D47" s="7" t="str">
        <f t="shared" si="3"/>
        <v>2026年3月27日 13:00-17:30</v>
      </c>
      <c r="E47" s="7" t="s">
        <v>74</v>
      </c>
    </row>
    <row r="48" spans="1:6">
      <c r="A48" s="4"/>
      <c r="B48" s="4"/>
      <c r="C48" s="6" t="s">
        <v>7</v>
      </c>
      <c r="D48" s="7" t="str">
        <f t="shared" si="3"/>
        <v>2026年3月27日 13:00-14:00</v>
      </c>
      <c r="E48" s="7"/>
    </row>
    <row r="49" spans="1:5">
      <c r="A49" s="4"/>
      <c r="B49" s="4"/>
      <c r="C49" s="6" t="s">
        <v>10</v>
      </c>
      <c r="D49" s="7" t="str">
        <f t="shared" si="3"/>
        <v>2026年3月27日 17:30-18:00</v>
      </c>
      <c r="E49" s="7"/>
    </row>
    <row r="50" spans="1:5">
      <c r="A50" s="4"/>
      <c r="B50" s="4"/>
      <c r="C50" s="9" t="s">
        <v>43</v>
      </c>
      <c r="D50" s="7" t="str">
        <f t="shared" si="3"/>
        <v>2026年3月15日 12:30-15:30</v>
      </c>
      <c r="E50" s="7"/>
    </row>
    <row r="51" spans="1:5">
      <c r="A51" s="8" t="s">
        <v>75</v>
      </c>
      <c r="B51" s="5" t="s">
        <v>76</v>
      </c>
      <c r="C51" s="9" t="s">
        <v>34</v>
      </c>
      <c r="D51" s="7" t="str">
        <f t="shared" si="3"/>
        <v>2026年3月12日 19:00-21:00</v>
      </c>
      <c r="E51" s="7" t="s">
        <v>77</v>
      </c>
    </row>
    <row r="52" spans="1:5">
      <c r="A52" s="8"/>
      <c r="B52" s="5"/>
      <c r="C52" s="9" t="s">
        <v>43</v>
      </c>
      <c r="D52" s="7" t="str">
        <f t="shared" si="3"/>
        <v>2026年3月15日 12:30-15:30</v>
      </c>
      <c r="E52" s="7"/>
    </row>
    <row r="53" spans="1:5">
      <c r="A53" s="8"/>
      <c r="B53" s="5"/>
      <c r="C53" s="2" t="s">
        <v>73</v>
      </c>
      <c r="D53" s="7" t="str">
        <f t="shared" si="3"/>
        <v>2026年3月27日 13:00-17:30</v>
      </c>
      <c r="E53" s="7"/>
    </row>
    <row r="54" spans="1:5">
      <c r="A54" s="8" t="s">
        <v>78</v>
      </c>
      <c r="B54" s="5" t="s">
        <v>79</v>
      </c>
      <c r="C54" s="6" t="s">
        <v>7</v>
      </c>
      <c r="D54" s="7" t="str">
        <f t="shared" si="3"/>
        <v>2026年3月27日 13:00-14:00</v>
      </c>
      <c r="E54" s="7" t="s">
        <v>80</v>
      </c>
    </row>
    <row r="55" spans="1:5">
      <c r="A55" s="8"/>
      <c r="B55" s="5"/>
      <c r="C55" s="6" t="s">
        <v>15</v>
      </c>
      <c r="D55" s="7" t="str">
        <f t="shared" si="3"/>
        <v>2026年3月27日 15:00-17:30</v>
      </c>
      <c r="E55" s="7"/>
    </row>
    <row r="56" spans="1:5">
      <c r="A56" s="8" t="s">
        <v>81</v>
      </c>
      <c r="B56" s="5" t="s">
        <v>82</v>
      </c>
      <c r="C56" s="6" t="s">
        <v>7</v>
      </c>
      <c r="D56" s="7" t="str">
        <f t="shared" si="3"/>
        <v>2026年3月27日 13:00-14:00</v>
      </c>
      <c r="E56" s="7" t="s">
        <v>70</v>
      </c>
    </row>
    <row r="57" spans="1:5">
      <c r="A57" s="8"/>
      <c r="B57" s="5"/>
      <c r="C57" s="6" t="s">
        <v>15</v>
      </c>
      <c r="D57" s="7" t="str">
        <f t="shared" si="3"/>
        <v>2026年3月27日 15:00-17:30</v>
      </c>
      <c r="E57" s="7"/>
    </row>
    <row r="58" spans="1:5">
      <c r="A58" s="8"/>
      <c r="B58" s="5"/>
      <c r="C58" s="6" t="s">
        <v>10</v>
      </c>
      <c r="D58" s="7" t="str">
        <f t="shared" si="3"/>
        <v>2026年3月27日 17:30-18:00</v>
      </c>
      <c r="E58" s="7"/>
    </row>
    <row r="59" spans="1:5">
      <c r="A59" s="8"/>
      <c r="B59" s="5"/>
      <c r="C59" s="6"/>
    </row>
    <row r="60" spans="1:5">
      <c r="A60" s="8"/>
      <c r="B60" s="5"/>
      <c r="C60" s="6"/>
    </row>
    <row r="61" spans="1:5">
      <c r="A61" s="8"/>
      <c r="B61" s="5"/>
      <c r="C61" s="6"/>
    </row>
    <row r="62" spans="1:5">
      <c r="A62" s="8"/>
      <c r="B62" s="5"/>
      <c r="C62" s="6"/>
    </row>
    <row r="63" spans="1:5">
      <c r="A63" s="8"/>
      <c r="B63" s="5"/>
      <c r="C63" s="6"/>
    </row>
    <row r="64" spans="1:5">
      <c r="A64" s="8"/>
      <c r="B64" s="5"/>
      <c r="C64" s="6"/>
    </row>
    <row r="65" spans="1:3">
      <c r="A65" s="8"/>
      <c r="B65" s="5"/>
      <c r="C65" s="6"/>
    </row>
    <row r="66" spans="1:3">
      <c r="C66" s="6"/>
    </row>
    <row r="67" spans="1:3">
      <c r="C67" s="6"/>
    </row>
    <row r="68" spans="1:3">
      <c r="C68" s="6"/>
    </row>
    <row r="69" spans="1:3">
      <c r="C69" s="6"/>
    </row>
    <row r="70" spans="1:3">
      <c r="C70" s="6"/>
    </row>
    <row r="71" spans="1:3">
      <c r="C71" s="6"/>
    </row>
    <row r="72" spans="1:3">
      <c r="C72" s="6"/>
    </row>
    <row r="73" spans="1:3">
      <c r="C73" s="6"/>
    </row>
    <row r="74" spans="1:3">
      <c r="C74" s="6"/>
    </row>
    <row r="75" spans="1:3">
      <c r="C75" s="6"/>
    </row>
    <row r="76" spans="1:3">
      <c r="C76" s="6"/>
    </row>
    <row r="77" spans="1:3">
      <c r="C77" s="6"/>
    </row>
    <row r="78" spans="1:3">
      <c r="C78" s="6"/>
    </row>
    <row r="79" spans="1:3">
      <c r="C79" s="6"/>
    </row>
    <row r="80" spans="1:3">
      <c r="C80" s="6"/>
    </row>
    <row r="81" spans="3:3">
      <c r="C81" s="6"/>
    </row>
    <row r="82" spans="3:3">
      <c r="C82" s="6"/>
    </row>
    <row r="83" spans="3:3">
      <c r="C83" s="6"/>
    </row>
    <row r="84" spans="3:3">
      <c r="C84" s="6"/>
    </row>
    <row r="85" spans="3:3">
      <c r="C85" s="6"/>
    </row>
    <row r="86" spans="3:3">
      <c r="C86" s="6"/>
    </row>
    <row r="87" spans="3:3">
      <c r="C87" s="6"/>
    </row>
  </sheetData>
  <mergeCells count="43">
    <mergeCell ref="A2:A4"/>
    <mergeCell ref="A5:A8"/>
    <mergeCell ref="A9:A12"/>
    <mergeCell ref="A13:A16"/>
    <mergeCell ref="A18:A19"/>
    <mergeCell ref="A21:A23"/>
    <mergeCell ref="A26:A27"/>
    <mergeCell ref="A31:A32"/>
    <mergeCell ref="A41:A44"/>
    <mergeCell ref="A45:A46"/>
    <mergeCell ref="A47:A50"/>
    <mergeCell ref="A51:A53"/>
    <mergeCell ref="A54:A55"/>
    <mergeCell ref="A56:A58"/>
    <mergeCell ref="B2:B4"/>
    <mergeCell ref="B5:B8"/>
    <mergeCell ref="B9:B12"/>
    <mergeCell ref="B13:B16"/>
    <mergeCell ref="B18:B19"/>
    <mergeCell ref="B21:B23"/>
    <mergeCell ref="B26:B27"/>
    <mergeCell ref="B31:B32"/>
    <mergeCell ref="B41:B44"/>
    <mergeCell ref="B45:B46"/>
    <mergeCell ref="B47:B50"/>
    <mergeCell ref="B51:B53"/>
    <mergeCell ref="B54:B55"/>
    <mergeCell ref="B56:B58"/>
    <mergeCell ref="E2:E4"/>
    <mergeCell ref="E5:E8"/>
    <mergeCell ref="E9:E12"/>
    <mergeCell ref="E13:E16"/>
    <mergeCell ref="E18:E19"/>
    <mergeCell ref="E21:E23"/>
    <mergeCell ref="E26:E27"/>
    <mergeCell ref="E31:E32"/>
    <mergeCell ref="E41:E44"/>
    <mergeCell ref="E45:E46"/>
    <mergeCell ref="E47:E50"/>
    <mergeCell ref="E51:E53"/>
    <mergeCell ref="E54:E55"/>
    <mergeCell ref="E56:E58"/>
    <mergeCell ref="F31:F32"/>
  </mergeCells>
  <dataValidations count="2">
    <dataValidation type="list" allowBlank="1" showInputMessage="1" showErrorMessage="1" sqref="C45 C2:C18 C20:C21 C41:C43 C48:C49 C54:C58">
      <formula1>"雷锋月活动前布置现场,雷锋月活动演职人员,雷锋月活动陪护疏导老人,雷锋月活动后打扫场地,雷锋月活动现场拍照,雷锋月活动新闻撰写"</formula1>
    </dataValidation>
    <dataValidation type="list" allowBlank="1" showInputMessage="1" showErrorMessage="1" sqref="C59:C87 E39:E40 F31:F38">
      <formula1>"活动前布置现场,演职人员,陪护疏导老人,活动后打扫场地,现场拍照,活动新闻撰写,"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十三月.</cp:lastModifiedBy>
  <dcterms:created xsi:type="dcterms:W3CDTF">2026-03-28T21:45:00Z</dcterms:created>
  <dcterms:modified xsi:type="dcterms:W3CDTF">2026-03-29T04:09:12Z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8B320A7D25F242D39EC43F9488A101E7_12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